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K_Documents\CEN4908C\Senior_Design_TI_Project\Work_Log\"/>
    </mc:Choice>
  </mc:AlternateContent>
  <xr:revisionPtr revIDLastSave="0" documentId="13_ncr:1_{DF0CFAEC-B4F5-4E77-9461-2B3D71CC2812}" xr6:coauthVersionLast="47" xr6:coauthVersionMax="47" xr10:uidLastSave="{00000000-0000-0000-0000-000000000000}"/>
  <bookViews>
    <workbookView xWindow="1900" yWindow="1900" windowWidth="15730" windowHeight="8830" xr2:uid="{1E1DE2E1-E43F-4C7B-805F-E7F882405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I4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<sst xmlns="http://schemas.openxmlformats.org/spreadsheetml/2006/main" count="92" uniqueCount="49">
  <si>
    <t>Kevin Su Senior Design Work Log</t>
  </si>
  <si>
    <t>Team Member</t>
  </si>
  <si>
    <t>DATE</t>
  </si>
  <si>
    <t>TIME IN</t>
  </si>
  <si>
    <t>TIME OUT</t>
  </si>
  <si>
    <t>TOTAL</t>
  </si>
  <si>
    <t>DESCRIPTION</t>
  </si>
  <si>
    <t>Kevin Su</t>
  </si>
  <si>
    <t>Virtual meeting with team to discuss plans with project</t>
  </si>
  <si>
    <t>Read over documentation for mmRadar and reviewed sample visualizers in SDK</t>
  </si>
  <si>
    <t>Research on mmRadar EVM dimensions, modular cases, and began work on bottom portion of case</t>
  </si>
  <si>
    <t>Watched tutorials on pytorch, ran sample models, and looked for similar projects or use cases of machine learning with radar,</t>
  </si>
  <si>
    <t>Researched components needed for the custom mmWave Radar PCB and reviewed provided TI document for mmWave Radar PCB designs</t>
  </si>
  <si>
    <t>Implemented and installed TI provided software to observe the functionality of the provided hardware and reviewed data output format.</t>
  </si>
  <si>
    <t>Searched for TI products/ICs to reduce cost of PCB. Worked on drawing PCB components/pin outs and researched mmRadar low level functionality.</t>
  </si>
  <si>
    <t>Worked on drawing PCB components/pin outs and assisted with mmRadar programming</t>
  </si>
  <si>
    <t>Created Python script to read UART data from mmWave Radar, read datasheet on TVL data format and reverse engineered the parsing on the TI radar demo.</t>
  </si>
  <si>
    <t>Researched and created schematic for USB connector and voltage suppressor.</t>
  </si>
  <si>
    <t>Worked on mmWave Radar PCB schematic. Work included drawing components and connecting components.</t>
  </si>
  <si>
    <t>Added and wired FTDI- USB to SPI converter and FTDI EEPROM.</t>
  </si>
  <si>
    <t>Completed drawing IWRL6432AOP and wired it in the schematic along with an clock oscillator and power sources.</t>
  </si>
  <si>
    <t>Added AWRL6432AOP supply decoupling capacitors and QSPI Flash.</t>
  </si>
  <si>
    <t>Modified Power Supplies and signal/net routing for AWRL6432AOP schematic.</t>
  </si>
  <si>
    <t>Added decoupling capacitors for schematic along with Flash memory.</t>
  </si>
  <si>
    <t>Assisted team in data collection for ML model for sitting and standing classes.</t>
  </si>
  <si>
    <t>Added GPIO for power and data along with pull up resistors.</t>
  </si>
  <si>
    <t>Added voltage/buck converters to convert 5V to 1.8V, 1.2V, and 3.3V and removed unnecessary logic ICs.</t>
  </si>
  <si>
    <t>Researched possible UART to USB IC for our PCB and USB ports.</t>
  </si>
  <si>
    <t>Added UART to USB IC and USB ports to schematic for data and power delivery.</t>
  </si>
  <si>
    <t>Added voltage switch IC, fixed connection errors, and added subheadings for clarification.</t>
  </si>
  <si>
    <t>Assistem with data collection and ML model improvement suggestions.</t>
  </si>
  <si>
    <t>Began redesigning PCB schematic for a Raspberry PI 4 backpack/peripheral.</t>
  </si>
  <si>
    <t>Completed PCB schematic redesign for a Raspberry PI 4 backpack/peripheral.</t>
  </si>
  <si>
    <t>Fixed wiring issues identified by Altium tool.</t>
  </si>
  <si>
    <t>Began placement of PCB components.</t>
  </si>
  <si>
    <t>Worked on placing PCB components.</t>
  </si>
  <si>
    <t>Completed PCB component placement and began routing.</t>
  </si>
  <si>
    <t>Worked on PCB power, signal, and GND routing for a 2 layer board.</t>
  </si>
  <si>
    <t>Worked on PCB power, signal, and GND routing for a 2 layer board. Ran into a roadblock running into routing conflicts.</t>
  </si>
  <si>
    <t>Restarted PCB design for a 4 layer design. Did research on best methods of power distribution, thermal dissapation, and GND plane.</t>
  </si>
  <si>
    <t>Continuted working PCB design for a 4 layer design. Began routing power and other netlist signals.</t>
  </si>
  <si>
    <t>Continuted working PCB design for a 4 layer design. Continued routing netlist signals.</t>
  </si>
  <si>
    <t xml:space="preserve">Continuted working PCB design for a 4 layer design. Continued routing netlist signals. Created GND plane. </t>
  </si>
  <si>
    <t>Completed 4 Layer PCB for review.</t>
  </si>
  <si>
    <t>6:45:00PM</t>
  </si>
  <si>
    <t>Completed code for SPI to transmit data from mmWaveradar.</t>
  </si>
  <si>
    <t>Found new 3D models for PCB components and began redesiging to align with TI standards.</t>
  </si>
  <si>
    <t>Assisted team with data collection for ML classification model.</t>
  </si>
  <si>
    <t>Assisted team with system integration for final 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</si>
</sst>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horizontal="right" wrapText="1"/>
    </xf>
    <xf numFmtId="19" fontId="1" fillId="2" borderId="1" xfId="0" applyNumberFormat="1" applyFont="1" applyFill="1" applyBorder="1" applyAlignment="1">
      <alignment horizontal="right" wrapText="1"/>
    </xf>
    <xf numFmtId="21" fontId="1" fillId="2" borderId="1" xfId="0" applyNumberFormat="1" applyFont="1" applyFill="1" applyBorder="1" applyAlignment="1">
      <alignment horizontal="right" wrapText="1"/>
    </xf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5A0D-EF96-486C-AACC-708D8CEA56AE}">
  <dimension ref="A1:I45"/>
  <sheetViews>
    <sheetView tabSelected="1" topLeftCell="A41" zoomScale="85" zoomScaleNormal="85" workbookViewId="0">
      <selection activeCell="I44" sqref="I44"/>
    </sheetView>
  </sheetViews>
  <sheetFormatPr defaultRowHeight="14.5" x14ac:dyDescent="0.35"/>
  <cols>
    <col min="1" max="1" width="30.6328125" customWidth="1"/>
    <col min="3" max="3" width="9.90625" bestFit="1" customWidth="1"/>
    <col min="4" max="5" width="11.1796875" bestFit="1" customWidth="1"/>
    <col min="7" max="7" width="25.6328125" customWidth="1"/>
    <col min="8" max="8" width="9.54296875" bestFit="1" customWidth="1"/>
  </cols>
  <sheetData>
    <row r="1" spans="1:7" ht="15" thickBot="1" x14ac:dyDescent="0.4">
      <c r="A1" t="s">
        <v>0</v>
      </c>
    </row>
    <row r="2" spans="1:7" ht="26.5" thickBot="1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01.5" thickBot="1" x14ac:dyDescent="0.4">
      <c r="B3" s="2" t="s">
        <v>7</v>
      </c>
      <c r="C3" s="3">
        <v>45934</v>
      </c>
      <c r="D3" s="4">
        <v>0.5</v>
      </c>
      <c r="E3" s="4">
        <v>0.52083333333333337</v>
      </c>
      <c r="F3" s="5">
        <v>2.0833333333333332E-2</v>
      </c>
      <c r="G3" s="2" t="s">
        <v>8</v>
      </c>
    </row>
    <row r="4" spans="1:7" ht="101.5" thickBot="1" x14ac:dyDescent="0.4">
      <c r="B4" s="2" t="s">
        <v>7</v>
      </c>
      <c r="C4" s="3">
        <v>45944</v>
      </c>
      <c r="D4" s="4">
        <v>0.5</v>
      </c>
      <c r="E4" s="4">
        <v>0.52083333333333337</v>
      </c>
      <c r="F4" s="5">
        <v>2.0833333333333332E-2</v>
      </c>
      <c r="G4" s="2" t="s">
        <v>8</v>
      </c>
    </row>
    <row r="5" spans="1:7" ht="126.5" thickBot="1" x14ac:dyDescent="0.4">
      <c r="B5" s="2" t="s">
        <v>7</v>
      </c>
      <c r="C5" s="3">
        <v>45945</v>
      </c>
      <c r="D5" s="4">
        <v>0.54166666666666663</v>
      </c>
      <c r="E5" s="4">
        <v>0.6875</v>
      </c>
      <c r="F5" s="5">
        <v>0.14583333333333334</v>
      </c>
      <c r="G5" s="2" t="s">
        <v>9</v>
      </c>
    </row>
    <row r="6" spans="1:7" ht="176.5" thickBot="1" x14ac:dyDescent="0.4">
      <c r="B6" s="2" t="s">
        <v>7</v>
      </c>
      <c r="C6" s="3">
        <v>45948</v>
      </c>
      <c r="D6" s="4">
        <v>0.54166666666666663</v>
      </c>
      <c r="E6" s="4">
        <v>0.75</v>
      </c>
      <c r="F6" s="5">
        <v>0.20833333333333334</v>
      </c>
      <c r="G6" s="2" t="s">
        <v>10</v>
      </c>
    </row>
    <row r="7" spans="1:7" ht="214" thickBot="1" x14ac:dyDescent="0.4">
      <c r="B7" s="2" t="s">
        <v>7</v>
      </c>
      <c r="C7" s="3">
        <v>45956</v>
      </c>
      <c r="D7" s="4">
        <v>0.5</v>
      </c>
      <c r="E7" s="4">
        <v>0.66666666666666663</v>
      </c>
      <c r="F7" s="5">
        <v>0.16666666666666666</v>
      </c>
      <c r="G7" s="2" t="s">
        <v>11</v>
      </c>
    </row>
    <row r="8" spans="1:7" ht="239" thickBot="1" x14ac:dyDescent="0.4">
      <c r="B8" s="2" t="s">
        <v>7</v>
      </c>
      <c r="C8" s="3">
        <v>45967</v>
      </c>
      <c r="D8" s="4">
        <v>0.625</v>
      </c>
      <c r="E8" s="4">
        <v>0.85416666666666663</v>
      </c>
      <c r="F8" s="5">
        <v>0.22916666666666666</v>
      </c>
      <c r="G8" s="2" t="s">
        <v>12</v>
      </c>
    </row>
    <row r="9" spans="1:7" ht="226.5" thickBot="1" x14ac:dyDescent="0.4">
      <c r="B9" s="2" t="s">
        <v>7</v>
      </c>
      <c r="C9" s="3">
        <v>45973</v>
      </c>
      <c r="D9" s="4">
        <v>0.5</v>
      </c>
      <c r="E9" s="4">
        <v>0.72916666666666663</v>
      </c>
      <c r="F9" s="5">
        <v>0.22916666666666666</v>
      </c>
      <c r="G9" s="2" t="s">
        <v>13</v>
      </c>
    </row>
    <row r="10" spans="1:7" ht="251.5" thickBot="1" x14ac:dyDescent="0.4">
      <c r="B10" s="2" t="s">
        <v>7</v>
      </c>
      <c r="C10" s="3">
        <v>45974</v>
      </c>
      <c r="D10" s="4">
        <v>0.41666666666666669</v>
      </c>
      <c r="E10" s="4">
        <v>0.70833333333333337</v>
      </c>
      <c r="F10" s="5">
        <v>0.29166666666666669</v>
      </c>
      <c r="G10" s="2" t="s">
        <v>14</v>
      </c>
    </row>
    <row r="11" spans="1:7" ht="51.5" thickBot="1" x14ac:dyDescent="0.4">
      <c r="B11" s="2" t="s">
        <v>7</v>
      </c>
      <c r="C11" s="3">
        <v>45975</v>
      </c>
      <c r="D11" s="4">
        <v>0.5</v>
      </c>
      <c r="E11" s="4">
        <v>0.75</v>
      </c>
      <c r="F11" s="5">
        <v>0.25</v>
      </c>
      <c r="G11" s="2" t="s">
        <v>15</v>
      </c>
    </row>
    <row r="12" spans="1:7" ht="76.5" thickBot="1" x14ac:dyDescent="0.4">
      <c r="B12" s="2" t="s">
        <v>7</v>
      </c>
      <c r="C12" s="3">
        <v>45977</v>
      </c>
      <c r="D12" s="4">
        <v>0.45833333333333331</v>
      </c>
      <c r="E12" s="4">
        <v>0.875</v>
      </c>
      <c r="F12" s="5">
        <v>0.41666666666666669</v>
      </c>
      <c r="G12" s="2" t="s">
        <v>16</v>
      </c>
    </row>
    <row r="13" spans="1:7" ht="39" thickBot="1" x14ac:dyDescent="0.4">
      <c r="B13" s="2" t="s">
        <v>7</v>
      </c>
      <c r="C13" s="3">
        <v>46040</v>
      </c>
      <c r="D13" s="4">
        <v>0.83333333333333337</v>
      </c>
      <c r="E13" s="4">
        <v>0.89583333333333337</v>
      </c>
      <c r="F13" s="5">
        <v>6.25E-2</v>
      </c>
      <c r="G13" s="2" t="s">
        <v>17</v>
      </c>
    </row>
    <row r="14" spans="1:7" ht="51.5" thickBot="1" x14ac:dyDescent="0.4">
      <c r="B14" s="2" t="s">
        <v>7</v>
      </c>
      <c r="C14" s="3">
        <v>46041</v>
      </c>
      <c r="D14" s="4">
        <v>0.58333333333333337</v>
      </c>
      <c r="E14" s="4">
        <v>0.6875</v>
      </c>
      <c r="F14" s="5">
        <v>0.10416666666666667</v>
      </c>
      <c r="G14" s="2" t="s">
        <v>18</v>
      </c>
    </row>
    <row r="15" spans="1:7" ht="51.5" thickBot="1" x14ac:dyDescent="0.4">
      <c r="B15" s="2" t="s">
        <v>7</v>
      </c>
      <c r="C15" s="3">
        <v>46042</v>
      </c>
      <c r="D15" s="4">
        <v>0.625</v>
      </c>
      <c r="E15" s="4">
        <v>0.70833333333333337</v>
      </c>
      <c r="F15" s="5">
        <v>8.3333333333333329E-2</v>
      </c>
      <c r="G15" s="2" t="s">
        <v>18</v>
      </c>
    </row>
    <row r="16" spans="1:7" ht="39" thickBot="1" x14ac:dyDescent="0.4">
      <c r="B16" s="2" t="s">
        <v>7</v>
      </c>
      <c r="C16" s="3">
        <v>46044</v>
      </c>
      <c r="D16" s="4">
        <v>0.70833333333333337</v>
      </c>
      <c r="E16" s="4">
        <v>0.79166666666666663</v>
      </c>
      <c r="F16" s="5">
        <v>8.3333333333333329E-2</v>
      </c>
      <c r="G16" s="2" t="s">
        <v>19</v>
      </c>
    </row>
    <row r="17" spans="2:7" ht="64" thickBot="1" x14ac:dyDescent="0.4">
      <c r="B17" s="2" t="s">
        <v>7</v>
      </c>
      <c r="C17" s="3">
        <v>46047</v>
      </c>
      <c r="D17" s="4">
        <v>0.45833333333333331</v>
      </c>
      <c r="E17" s="4">
        <v>0.70833333333333337</v>
      </c>
      <c r="F17" s="5">
        <v>0.25</v>
      </c>
      <c r="G17" s="2" t="s">
        <v>20</v>
      </c>
    </row>
    <row r="18" spans="2:7" ht="39" thickBot="1" x14ac:dyDescent="0.4">
      <c r="B18" s="2" t="s">
        <v>7</v>
      </c>
      <c r="C18" s="3">
        <v>46048</v>
      </c>
      <c r="D18" s="4">
        <v>0.60416666666666663</v>
      </c>
      <c r="E18" s="4">
        <v>0.73472222222222228</v>
      </c>
      <c r="F18" s="5">
        <v>0.13055555555555556</v>
      </c>
      <c r="G18" s="2" t="s">
        <v>21</v>
      </c>
    </row>
    <row r="19" spans="2:7" ht="39" thickBot="1" x14ac:dyDescent="0.4">
      <c r="B19" s="2" t="s">
        <v>7</v>
      </c>
      <c r="C19" s="3">
        <v>46054</v>
      </c>
      <c r="D19" s="4">
        <v>0.45833333333333331</v>
      </c>
      <c r="E19" s="4">
        <v>0.6875</v>
      </c>
      <c r="F19" s="5">
        <v>0.22916666666666666</v>
      </c>
      <c r="G19" s="2" t="s">
        <v>22</v>
      </c>
    </row>
    <row r="20" spans="2:7" ht="39" thickBot="1" x14ac:dyDescent="0.4">
      <c r="B20" s="2" t="s">
        <v>7</v>
      </c>
      <c r="C20" s="3">
        <v>46057</v>
      </c>
      <c r="D20" s="4">
        <v>0.33333333333333331</v>
      </c>
      <c r="E20" s="4">
        <v>0.52083333333333337</v>
      </c>
      <c r="F20" s="5">
        <v>0.1875</v>
      </c>
      <c r="G20" s="2" t="s">
        <v>23</v>
      </c>
    </row>
    <row r="21" spans="2:7" ht="39" thickBot="1" x14ac:dyDescent="0.4">
      <c r="B21" s="2" t="s">
        <v>7</v>
      </c>
      <c r="C21" s="3">
        <v>46060</v>
      </c>
      <c r="D21" s="4">
        <v>0.54166666666666663</v>
      </c>
      <c r="E21" s="4">
        <v>0.70833333333333337</v>
      </c>
      <c r="F21" s="5">
        <v>0.16666666666666666</v>
      </c>
      <c r="G21" s="2" t="s">
        <v>24</v>
      </c>
    </row>
    <row r="22" spans="2:7" ht="39" thickBot="1" x14ac:dyDescent="0.4">
      <c r="B22" s="2" t="s">
        <v>7</v>
      </c>
      <c r="C22" s="3">
        <v>46061</v>
      </c>
      <c r="D22" s="4">
        <v>0.70833333333333337</v>
      </c>
      <c r="E22" s="4">
        <v>0.79166666666666663</v>
      </c>
      <c r="F22" s="5">
        <v>8.3333333333333329E-2</v>
      </c>
      <c r="G22" s="2" t="s">
        <v>25</v>
      </c>
    </row>
    <row r="23" spans="2:7" ht="64" thickBot="1" x14ac:dyDescent="0.4">
      <c r="B23" s="2" t="s">
        <v>7</v>
      </c>
      <c r="C23" s="3">
        <v>46062</v>
      </c>
      <c r="D23" s="4">
        <v>0.5</v>
      </c>
      <c r="E23" s="4">
        <v>0.75</v>
      </c>
      <c r="F23" s="5">
        <v>0.25</v>
      </c>
      <c r="G23" s="2" t="s">
        <v>26</v>
      </c>
    </row>
    <row r="24" spans="2:7" ht="39" thickBot="1" x14ac:dyDescent="0.4">
      <c r="B24" s="2" t="s">
        <v>7</v>
      </c>
      <c r="C24" s="3">
        <v>46064</v>
      </c>
      <c r="D24" s="4">
        <v>0.5</v>
      </c>
      <c r="E24" s="4">
        <v>0.5625</v>
      </c>
      <c r="F24" s="5">
        <v>6.25E-2</v>
      </c>
      <c r="G24" s="2" t="s">
        <v>27</v>
      </c>
    </row>
    <row r="25" spans="2:7" ht="39" thickBot="1" x14ac:dyDescent="0.4">
      <c r="B25" s="2" t="s">
        <v>7</v>
      </c>
      <c r="C25" s="3">
        <v>46065</v>
      </c>
      <c r="D25" s="4">
        <v>0.58333333333333337</v>
      </c>
      <c r="E25" s="4">
        <v>0.77083333333333337</v>
      </c>
      <c r="F25" s="5">
        <v>0.1875</v>
      </c>
      <c r="G25" s="2" t="s">
        <v>28</v>
      </c>
    </row>
    <row r="26" spans="2:7" ht="39" thickBot="1" x14ac:dyDescent="0.4">
      <c r="B26" s="2" t="s">
        <v>7</v>
      </c>
      <c r="C26" s="3">
        <v>46066</v>
      </c>
      <c r="D26" s="4">
        <v>0.70833333333333337</v>
      </c>
      <c r="E26" s="4">
        <v>0.875</v>
      </c>
      <c r="F26" s="5">
        <v>0.16666666666666666</v>
      </c>
      <c r="G26" s="2" t="s">
        <v>29</v>
      </c>
    </row>
    <row r="27" spans="2:7" ht="39" thickBot="1" x14ac:dyDescent="0.4">
      <c r="B27" s="2" t="s">
        <v>7</v>
      </c>
      <c r="C27" s="3">
        <v>46076</v>
      </c>
      <c r="D27" s="4">
        <v>0.70833333333333337</v>
      </c>
      <c r="E27" s="4">
        <v>0.8125</v>
      </c>
      <c r="F27" s="5">
        <v>0.10416666666666667</v>
      </c>
      <c r="G27" s="2" t="s">
        <v>30</v>
      </c>
    </row>
    <row r="28" spans="2:7" ht="39" thickBot="1" x14ac:dyDescent="0.4">
      <c r="B28" s="2" t="s">
        <v>7</v>
      </c>
      <c r="C28" s="3">
        <v>46084</v>
      </c>
      <c r="D28" s="4">
        <v>0.60416666666666663</v>
      </c>
      <c r="E28" s="4">
        <v>0.875</v>
      </c>
      <c r="F28" s="5">
        <v>0.27083333333333331</v>
      </c>
      <c r="G28" s="2" t="s">
        <v>31</v>
      </c>
    </row>
    <row r="29" spans="2:7" ht="39" thickBot="1" x14ac:dyDescent="0.4">
      <c r="B29" s="2" t="s">
        <v>7</v>
      </c>
      <c r="C29" s="3">
        <v>46085</v>
      </c>
      <c r="D29" s="4">
        <v>0.65625</v>
      </c>
      <c r="E29" s="4">
        <v>0.72916666666666663</v>
      </c>
      <c r="F29" s="5">
        <v>5.2083333333333336E-2</v>
      </c>
      <c r="G29" s="2" t="s">
        <v>32</v>
      </c>
    </row>
    <row r="30" spans="2:7" ht="26.5" thickBot="1" x14ac:dyDescent="0.4">
      <c r="B30" s="2" t="s">
        <v>7</v>
      </c>
      <c r="C30" s="3">
        <v>46085</v>
      </c>
      <c r="D30" s="4">
        <v>0.91666666666666663</v>
      </c>
      <c r="E30" s="4">
        <v>0.95833333333333337</v>
      </c>
      <c r="F30" s="5">
        <v>4.1666666666666664E-2</v>
      </c>
      <c r="G30" s="2" t="s">
        <v>33</v>
      </c>
    </row>
    <row r="31" spans="2:7" ht="26.5" thickBot="1" x14ac:dyDescent="0.4">
      <c r="B31" s="2" t="s">
        <v>7</v>
      </c>
      <c r="C31" s="3">
        <v>46097</v>
      </c>
      <c r="D31" s="4">
        <v>0.625</v>
      </c>
      <c r="E31" s="4">
        <v>0.75</v>
      </c>
      <c r="F31" s="5">
        <v>0.125</v>
      </c>
      <c r="G31" s="2" t="s">
        <v>34</v>
      </c>
    </row>
    <row r="32" spans="2:7" ht="26.5" thickBot="1" x14ac:dyDescent="0.4">
      <c r="B32" s="2" t="s">
        <v>7</v>
      </c>
      <c r="C32" s="3">
        <v>46098</v>
      </c>
      <c r="D32" s="4">
        <v>0.70833333333333337</v>
      </c>
      <c r="E32" s="4">
        <v>0.875</v>
      </c>
      <c r="F32" s="5">
        <v>0.16666666666666666</v>
      </c>
      <c r="G32" s="2" t="s">
        <v>35</v>
      </c>
    </row>
    <row r="33" spans="2:9" ht="26.5" thickBot="1" x14ac:dyDescent="0.4">
      <c r="B33" s="2" t="s">
        <v>7</v>
      </c>
      <c r="C33" s="3">
        <v>46099</v>
      </c>
      <c r="D33" s="4">
        <v>0.625</v>
      </c>
      <c r="E33" s="4">
        <v>0.875</v>
      </c>
      <c r="F33" s="5">
        <v>0.25</v>
      </c>
      <c r="G33" s="2" t="s">
        <v>36</v>
      </c>
    </row>
    <row r="34" spans="2:9" ht="39" thickBot="1" x14ac:dyDescent="0.4">
      <c r="B34" s="2" t="s">
        <v>7</v>
      </c>
      <c r="C34" s="3">
        <v>46100</v>
      </c>
      <c r="D34" s="4">
        <v>0.58333333333333337</v>
      </c>
      <c r="E34" s="4">
        <v>0.83333333333333337</v>
      </c>
      <c r="F34" s="5">
        <v>0.25</v>
      </c>
      <c r="G34" s="2" t="s">
        <v>37</v>
      </c>
    </row>
    <row r="35" spans="2:9" ht="64" thickBot="1" x14ac:dyDescent="0.4">
      <c r="B35" s="2" t="s">
        <v>7</v>
      </c>
      <c r="C35" s="3">
        <v>46101</v>
      </c>
      <c r="D35" s="4">
        <v>0.66666666666666663</v>
      </c>
      <c r="E35" s="4">
        <v>0.83333333333333337</v>
      </c>
      <c r="F35" s="5">
        <v>0.16666666666666666</v>
      </c>
      <c r="G35" s="2" t="s">
        <v>38</v>
      </c>
    </row>
    <row r="36" spans="2:9" ht="64" thickBot="1" x14ac:dyDescent="0.4">
      <c r="B36" s="2" t="s">
        <v>7</v>
      </c>
      <c r="C36" s="3">
        <v>46102</v>
      </c>
      <c r="D36" s="4">
        <v>0.45833333333333331</v>
      </c>
      <c r="E36" s="4">
        <v>0.875</v>
      </c>
      <c r="F36" s="5">
        <v>0.41666666666666669</v>
      </c>
      <c r="G36" s="2" t="s">
        <v>39</v>
      </c>
    </row>
    <row r="37" spans="2:9" ht="51.5" thickBot="1" x14ac:dyDescent="0.4">
      <c r="B37" s="2" t="s">
        <v>7</v>
      </c>
      <c r="C37" s="3">
        <v>46103</v>
      </c>
      <c r="D37" s="4">
        <v>0.52083333333333337</v>
      </c>
      <c r="E37" s="4">
        <v>0.875</v>
      </c>
      <c r="F37" s="5">
        <v>0.35416666666666669</v>
      </c>
      <c r="G37" s="2" t="s">
        <v>40</v>
      </c>
    </row>
    <row r="38" spans="2:9" ht="51.5" thickBot="1" x14ac:dyDescent="0.4">
      <c r="B38" s="2" t="s">
        <v>7</v>
      </c>
      <c r="C38" s="3">
        <v>46104</v>
      </c>
      <c r="D38" s="4">
        <v>0.66666666666666663</v>
      </c>
      <c r="E38" s="4">
        <v>0.83333333333333337</v>
      </c>
      <c r="F38" s="5">
        <v>0.16666666666666666</v>
      </c>
      <c r="G38" s="2" t="s">
        <v>41</v>
      </c>
    </row>
    <row r="39" spans="2:9" ht="51.5" thickBot="1" x14ac:dyDescent="0.4">
      <c r="B39" s="2" t="s">
        <v>7</v>
      </c>
      <c r="C39" s="3">
        <v>46105</v>
      </c>
      <c r="D39" s="4">
        <v>0.60416666666666663</v>
      </c>
      <c r="E39" s="4">
        <v>0.83333333333333337</v>
      </c>
      <c r="F39" s="5">
        <v>0.22916666666666666</v>
      </c>
      <c r="G39" s="2" t="s">
        <v>42</v>
      </c>
    </row>
    <row r="40" spans="2:9" ht="26.5" thickBot="1" x14ac:dyDescent="0.4">
      <c r="B40" s="2" t="s">
        <v>7</v>
      </c>
      <c r="C40" s="3">
        <v>46107</v>
      </c>
      <c r="D40" s="4">
        <v>0.54166666666666663</v>
      </c>
      <c r="E40" s="4">
        <v>0.625</v>
      </c>
      <c r="F40" s="5">
        <v>8.3333333333333329E-2</v>
      </c>
      <c r="G40" s="2" t="s">
        <v>43</v>
      </c>
      <c r="I40" t="e" vm="1">
        <f>_xleta.SUM</f>
        <v>#VALUE!</v>
      </c>
    </row>
    <row r="41" spans="2:9" ht="39" thickBot="1" x14ac:dyDescent="0.4">
      <c r="B41" s="2" t="s">
        <v>7</v>
      </c>
      <c r="C41" s="3">
        <v>46119</v>
      </c>
      <c r="D41" s="4">
        <v>0.58333333333333337</v>
      </c>
      <c r="E41" s="4" t="s">
        <v>44</v>
      </c>
      <c r="F41" s="5">
        <v>0.19791666666666666</v>
      </c>
      <c r="G41" s="2" t="s">
        <v>45</v>
      </c>
    </row>
    <row r="42" spans="2:9" ht="51.5" thickBot="1" x14ac:dyDescent="0.4">
      <c r="B42" s="2" t="s">
        <v>7</v>
      </c>
      <c r="C42" s="3">
        <v>46122</v>
      </c>
      <c r="D42" s="4">
        <v>0.58333333333333337</v>
      </c>
      <c r="E42" s="4">
        <v>0.79166666666666663</v>
      </c>
      <c r="F42" s="5">
        <v>0.20833333333333334</v>
      </c>
      <c r="G42" s="2" t="s">
        <v>46</v>
      </c>
    </row>
    <row r="43" spans="2:9" ht="39" thickBot="1" x14ac:dyDescent="0.4">
      <c r="B43" s="2" t="s">
        <v>7</v>
      </c>
      <c r="C43" s="3">
        <v>46126</v>
      </c>
      <c r="D43" s="4">
        <v>0.66666666666666663</v>
      </c>
      <c r="E43" s="4">
        <v>0.75</v>
      </c>
      <c r="F43" s="5">
        <v>8.3333333333333329E-2</v>
      </c>
      <c r="G43" s="2" t="s">
        <v>47</v>
      </c>
    </row>
    <row r="44" spans="2:9" ht="39" thickBot="1" x14ac:dyDescent="0.4">
      <c r="B44" s="2" t="s">
        <v>7</v>
      </c>
      <c r="C44" s="3">
        <v>46127</v>
      </c>
      <c r="D44" s="4">
        <v>0.66666666666666663</v>
      </c>
      <c r="E44" s="4">
        <v>0.875</v>
      </c>
      <c r="F44" s="5">
        <v>0.20833333333333334</v>
      </c>
      <c r="G44" s="2" t="s">
        <v>48</v>
      </c>
    </row>
    <row r="45" spans="2:9" x14ac:dyDescent="0.35">
      <c r="H45" s="6">
        <f>SUM(F3:F44)</f>
        <v>7.4013888888888903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Kevin W.</dc:creator>
  <cp:lastModifiedBy>Su, Kevin W.</cp:lastModifiedBy>
  <dcterms:created xsi:type="dcterms:W3CDTF">2026-01-25T19:12:52Z</dcterms:created>
  <dcterms:modified xsi:type="dcterms:W3CDTF">2026-04-21T19:41:42Z</dcterms:modified>
</cp:coreProperties>
</file>